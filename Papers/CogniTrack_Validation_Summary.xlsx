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 Validation Summary" sheetId="1" state="visible" r:id="rId3"/>
    <sheet name="Domain Coverage Summary" sheetId="2" state="visible" r:id="rId4"/>
    <sheet name="Action Item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<sst xmlns="http://schemas.openxmlformats.org/spreadsheetml/2006/main" count="128" uniqueCount="114">
  <si>
    <t xml:space="preserve">CogniTrack — Research Validation Summary</t>
  </si>
  <si>
    <t xml:space="preserve">Mapping each sourced paper to the CogniTrack test it validates, with an honest strength/gap assessment. Prepared for team review.</t>
  </si>
  <si>
    <t xml:space="preserve">Paper Title</t>
  </si>
  <si>
    <t xml:space="preserve">Authors &amp; Year</t>
  </si>
  <si>
    <t xml:space="preserve">Journal / Source</t>
  </si>
  <si>
    <t xml:space="preserve">CogniTrack Domain</t>
  </si>
  <si>
    <t xml:space="preserve">Sub-Test</t>
  </si>
  <si>
    <t xml:space="preserve">Paradigm Name</t>
  </si>
  <si>
    <t xml:space="preserve">What The Paper Tested</t>
  </si>
  <si>
    <t xml:space="preserve">Key Finding / Validation Statement</t>
  </si>
  <si>
    <t xml:space="preserve">Match Strength</t>
  </si>
  <si>
    <t xml:space="preserve">Gap / Caveat</t>
  </si>
  <si>
    <t xml:space="preserve">Studies of Interference in Serial Verbal Reactions</t>
  </si>
  <si>
    <t xml:space="preserve">Stroop, J. R. (1935)</t>
  </si>
  <si>
    <t xml:space="preserve">Journal of Experimental Psychology, 18(6), 643–662</t>
  </si>
  <si>
    <t xml:space="preserve">Decision Making</t>
  </si>
  <si>
    <t xml:space="preserve">Stroop Colour Test</t>
  </si>
  <si>
    <t xml:space="preserve">Stroop Color-Word Interference Task (original)</t>
  </si>
  <si>
    <t xml:space="preserve">Three experiments comparing time to read color words vs. name ink colors, under congruent and incongruent color/word pairings.</t>
  </si>
  <si>
    <t xml:space="preserve">Found a large increase in color-naming time when word and ink color conflicted, while word-reading time was largely unaffected — the original "Stroop effect," foundational to inhibitory-control research.</t>
  </si>
  <si>
    <t xml:space="preserve">Direct match</t>
  </si>
  <si>
    <t xml:space="preserve">Original used a printed card read aloud, not click-based digital single-item trials; the underlying interference mechanism our test measures is identical.</t>
  </si>
  <si>
    <t xml:space="preserve">Half a Century of Research on the Stroop Effect: An Integrative Review</t>
  </si>
  <si>
    <t xml:space="preserve">MacLeod, C. M. (1991)</t>
  </si>
  <si>
    <t xml:space="preserve">Psychological Bulletin, 109(2), 163–203</t>
  </si>
  <si>
    <t xml:space="preserve">Stroop Color-Word Task (integrative review)</t>
  </si>
  <si>
    <t xml:space="preserve">Synthesized roughly 400 studies across 50 years of Stroop research, distilling 18 reliable empirical findings any theory of the effect must explain.</t>
  </si>
  <si>
    <t xml:space="preserve">Confirms the Stroop interference effect as one of the most robust, replicated phenomena in cognitive psychology, and establishes it as a validated measure of selective attention and inhibitory control.</t>
  </si>
  <si>
    <t xml:space="preserve">Review paper, not a new primary study — use alongside the 1935 original as "theory + evidence base," not as a standalone empirical validation.</t>
  </si>
  <si>
    <t xml:space="preserve">The Rey Auditory Verbal Learning Test: Age-, Gender- and Education-Related Normative Data for The Iranian Healthy Population</t>
  </si>
  <si>
    <t xml:space="preserve">Sisakhti, M., Batouli, S. A. H., &amp; Farrahi, H. (2023)</t>
  </si>
  <si>
    <t xml:space="preserve">Frontiers in Biomedical Technologies, 10(3), 308–320</t>
  </si>
  <si>
    <t xml:space="preserve">Memory Recall</t>
  </si>
  <si>
    <t xml:space="preserve">Word Encoding + Recognition</t>
  </si>
  <si>
    <t xml:space="preserve">Rey Auditory Verbal Learning Test (RAVLT) — word-list learning &amp; recognition</t>
  </si>
  <si>
    <t xml:space="preserve">Normative study (n=300, healthy adults) establishing age/gender/education-adjusted RAVLT scores across learning, recall, and recognition measures.</t>
  </si>
  <si>
    <t xml:space="preserve">Confirms verbal learning/recognition performance is significantly related to age, education, and gender, and that word-list recognition reliably captures distinct memory sub-processes.</t>
  </si>
  <si>
    <t xml:space="preserve">Close variant</t>
  </si>
  <si>
    <t xml:space="preserve">RAVLT proper uses 15 words over 5 learning trials plus an interference list and delayed recall; our app uses a single ~10-word list with one recognition trial — a simplified, single-trial version. Age/gender norms here don't transfer to our unadjusted scoring.</t>
  </si>
  <si>
    <t xml:space="preserve">The Corsi Block-Tapping Task: Standardization and Normative Data</t>
  </si>
  <si>
    <t xml:space="preserve">Kessels, R. P. C., van Zandvoort, M. J. E., Postma, A., Kappelle, L. J., &amp; de Haan, E. H. F. (2000)</t>
  </si>
  <si>
    <t xml:space="preserve">Applied Neuropsychology</t>
  </si>
  <si>
    <t xml:space="preserve">Sequence Task (tile grid)</t>
  </si>
  <si>
    <t xml:space="preserve">Corsi Block-Tapping Task — visuospatial span</t>
  </si>
  <si>
    <t xml:space="preserve">Standardized administration/scoring procedure for the Corsi Block-Tapping Task, tested on 70 healthy adults and 70 patients with cerebral lesions, with percentile norms and cutoffs.</t>
  </si>
  <si>
    <t xml:space="preserve">Corsi span reliably indexes visuospatial short-term memory and is sensitive to right-hemisphere brain damage, supporting it as a valid, lateralized measure of spatial working memory.</t>
  </si>
  <si>
    <t xml:space="preserve">Standard CBT uses 9 physical blocks tapped in a fixed layout with a trained examiner scoring; our app uses an on-screen 3x3 grid — functionally equivalent, but we have no clinical normative comparison group.</t>
  </si>
  <si>
    <t xml:space="preserve">A Free, Easy-to-Use, Computer-Based Simple and Four-Choice Reaction Time Programme: The Deary-Liewald Reaction Time Task</t>
  </si>
  <si>
    <t xml:space="preserve">Deary, I. J., Liewald, D., &amp; Nissan, J. (2011)</t>
  </si>
  <si>
    <t xml:space="preserve">Behavior Research Methods, 43(1), 258–268</t>
  </si>
  <si>
    <t xml:space="preserve">Focus &amp; Attention</t>
  </si>
  <si>
    <t xml:space="preserve">Reaction Time Test</t>
  </si>
  <si>
    <t xml:space="preserve">Simple Reaction Time (SRT) task</t>
  </si>
  <si>
    <t xml:space="preserve">Validated a free computer-based simple and 4-choice RT task against an existing RT device and psychometric tests of intelligence/processing speed in 150 participants aged 18–80.</t>
  </si>
  <si>
    <t xml:space="preserve">RT parameters were reliable, correlated with the existing gold-standard device and with intelligence/processing-speed measures, and showed expected age-related slowing — establishing computerized SRT as a valid processing-speed measure.</t>
  </si>
  <si>
    <t xml:space="preserve">Validated protocol uses substantially more practice + scored trials than our app's 5 rounds; reliability of our shorter version is not independently established.</t>
  </si>
  <si>
    <t xml:space="preserve">Motor Speed Does Not Impact the Drift Rate: A Computational HDDM Approach to Differentiate Cognitive and Motor Speed</t>
  </si>
  <si>
    <t xml:space="preserve">Sandry, J., &amp; Ricker, T. J. (2022)</t>
  </si>
  <si>
    <t xml:space="preserve">Cognitive Research: Principles and Implications, 7:66</t>
  </si>
  <si>
    <t xml:space="preserve">Focus &amp; Attention / Thinking Speed</t>
  </si>
  <si>
    <t xml:space="preserve">Reaction Time Test / Symbol Match Test</t>
  </si>
  <si>
    <t xml:space="preserve">Drift-diffusion modeling of RT-based processing-speed tasks</t>
  </si>
  <si>
    <t xml:space="preserve">Two experiments manipulating response force (motor speed) and set size, using a hierarchical Bayesian drift-diffusion model to test whether RT-based "drift rate" reflects cognitive speed independent of motor speed.</t>
  </si>
  <si>
    <t xml:space="preserve">Set size (cognitive load) affected drift rate while response force (motor speed) did not — supporting that RT-based measures can isolate genuine cognitive speed from motor confounds. However, the paper also found weak-to-absent convergent validity between its drift-rate estimates and traditional processing-speed tests.</t>
  </si>
  <si>
    <t xml:space="preserve">Loose match</t>
  </si>
  <si>
    <t xml:space="preserve">This is a modeling/methods paper, not a direct validation of either our SRT or Symbol Match test as built. Our app scores raw average RT with no drift-rate modeling. Also worth flagging to your team: the paper itself reports weak convergent validity with traditional speed tests — don't cite this as strong confirmation.</t>
  </si>
  <si>
    <t xml:space="preserve">Mental Rotation of Three-Dimensional Objects</t>
  </si>
  <si>
    <t xml:space="preserve">Shepard, R. N., &amp; Metzler, J. (1971)</t>
  </si>
  <si>
    <t xml:space="preserve">Science, 171(3972), 701–703</t>
  </si>
  <si>
    <t xml:space="preserve">Visual Reasoning</t>
  </si>
  <si>
    <t xml:space="preserve">Visual Reasoning Assessment</t>
  </si>
  <si>
    <t xml:space="preserve">Mental Rotation Task</t>
  </si>
  <si>
    <t xml:space="preserve">Presented pairs of 3D block figures at varying angular rotations; participants judged whether the two objects were identical or mirror images, with reaction time recorded.</t>
  </si>
  <si>
    <t xml:space="preserve">Response time increased linearly with the degree of angular rotation between objects (~60°/second) — foundational evidence that people mentally rotate spatial images to make same/mirror judgments.</t>
  </si>
  <si>
    <t xml:space="preserve">Original used 3D wireframe cube-cluster figures and reaction time as the primary measure; our app uses flat 2D tile/block shapes and scores accuracy only — closer to the later Vandenberg-Kuse paper-and-pencil adaptation than to the original chronometric paradigm.</t>
  </si>
  <si>
    <t xml:space="preserve">Domain Coverage — Are We Actually Validated?</t>
  </si>
  <si>
    <t xml:space="preserve">One row per CogniTrack domain. Counts pull live from the Paper Validation Summary sheet.</t>
  </si>
  <si>
    <t xml:space="preserve">Test As Built</t>
  </si>
  <si>
    <t xml:space="preserve">Papers Found</t>
  </si>
  <si>
    <t xml:space="preserve">Direct Matches</t>
  </si>
  <si>
    <t xml:space="preserve">Status</t>
  </si>
  <si>
    <t xml:space="preserve">What's Missing</t>
  </si>
  <si>
    <t xml:space="preserve">Word encoding + recognition, tile Sequence Task</t>
  </si>
  <si>
    <t xml:space="preserve">Covered — one paper per sub-task (RAVLT for word recognition, Corsi for sequence span). Both are simplified single-trial adaptations of the original protocols.</t>
  </si>
  <si>
    <t xml:space="preserve">Simple Reaction Time test</t>
  </si>
  <si>
    <t xml:space="preserve">Direct-match paper found (Deary-Liewald). One additional paper (Sandry &amp; Ricker) is only a loose supporting reference — don't lean on it as primary evidence.</t>
  </si>
  <si>
    <t xml:space="preserve">Strongest-covered domain — original 1935 paper plus the definitive 1991 review, both direct matches.</t>
  </si>
  <si>
    <t xml:space="preserve">Thinking Speed</t>
  </si>
  <si>
    <t xml:space="preserve">Symbol Match Test (digit→symbol matching)</t>
  </si>
  <si>
    <t xml:space="preserve">No paper uploaded specifically validates this paradigm. The Sandry &amp; Ricker paper touches on processing-speed measurement generally but is not a Digit Symbol Substitution Test (DSST) / Symbol Digit Modalities Test (SDMT) validation.</t>
  </si>
  <si>
    <t xml:space="preserve">Mental rotation / same-shape-vs-mirror test</t>
  </si>
  <si>
    <t xml:space="preserve">Covered by the foundational Shepard &amp; Metzler (1971) paper, though our app's 2D tile shapes + accuracy-only scoring is a simplified variant of the original 3D/RT-based design.</t>
  </si>
  <si>
    <t xml:space="preserve">Legend:</t>
  </si>
  <si>
    <t xml:space="preserve">VALIDATED</t>
  </si>
  <si>
    <t xml:space="preserve">At least one direct-match paper on file</t>
  </si>
  <si>
    <t xml:space="preserve">PARTIAL / VARIANT ONLY</t>
  </si>
  <si>
    <t xml:space="preserve">Papers found, but only close/loose variants — no direct match</t>
  </si>
  <si>
    <t xml:space="preserve">NOT VALIDATED</t>
  </si>
  <si>
    <t xml:space="preserve">No paper on file maps to this domain — needs sourcing</t>
  </si>
  <si>
    <t xml:space="preserve">Action Items Before We Call This "Validated"</t>
  </si>
  <si>
    <t xml:space="preserve">Priority</t>
  </si>
  <si>
    <t xml:space="preserve">Action</t>
  </si>
  <si>
    <t xml:space="preserve">Why It Matters</t>
  </si>
  <si>
    <t xml:space="preserve">HIGH</t>
  </si>
  <si>
    <t xml:space="preserve">Find a Digit Symbol Substitution Test (DSST) or Symbol Digit Modalities Test (SDMT) validation paper for the Thinking Speed / Symbol Match test.</t>
  </si>
  <si>
    <t xml:space="preserve">Currently zero direct-match evidence for this domain — it's the one gap that would undercut an "evidence-based" claim if someone checks.</t>
  </si>
  <si>
    <t xml:space="preserve">MEDIUM</t>
  </si>
  <si>
    <t xml:space="preserve">Decide how to describe Memory Recall's two sub-components (word recognition + spatial sequence) separately rather than as one lumped domain.</t>
  </si>
  <si>
    <t xml:space="preserve">They map to two different literatures (RAVLT vs. Corsi); presenting them as one "Memory Recall" citation is misleading even though each half is individually well-supported.</t>
  </si>
  <si>
    <t xml:space="preserve">Add a short disclosure that our tests are single-trial, simplified, ungamified-score versions of the original clinical/lab protocols.</t>
  </si>
  <si>
    <t xml:space="preserve">Every domain has this caveat to some degree. Being upfront here is what makes the validation credible instead of decorative.</t>
  </si>
  <si>
    <t xml:space="preserve">LOW</t>
  </si>
  <si>
    <t xml:space="preserve">Consider dropping or re-labeling the Sandry &amp; Ricker (2022) paper's role — it's a modeling paper with weak convergent validity findings, not a strong endorsement.</t>
  </si>
  <si>
    <t xml:space="preserve">Citing it as primary support for Focus &amp; Attention or Thinking Speed would overstate what it actually shows.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</si>
</sst>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  <fill>
      <patternFill patternType="solid">
        <fgColor rgb="FFF4A6A6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A6A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4A6A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34"/>
    <col collapsed="false" customWidth="true" hidden="false" outlineLevel="0" max="8" min="8" style="0" width="40"/>
    <col collapsed="false" customWidth="true" hidden="false" outlineLevel="0" max="9" min="9" style="0" width="13"/>
    <col collapsed="false" customWidth="true" hidden="false" outlineLevel="0" max="10" min="10" style="0" width="3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75" hidden="false" customHeight="true" outlineLevel="0" collapsed="false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4" t="s">
        <v>19</v>
      </c>
      <c r="I5" s="5" t="s">
        <v>20</v>
      </c>
      <c r="J5" s="4" t="s">
        <v>21</v>
      </c>
    </row>
    <row r="6" customFormat="false" ht="75" hidden="false" customHeight="true" outlineLevel="0" collapsed="false">
      <c r="A6" s="4" t="s">
        <v>22</v>
      </c>
      <c r="B6" s="4" t="s">
        <v>23</v>
      </c>
      <c r="C6" s="4" t="s">
        <v>24</v>
      </c>
      <c r="D6" s="4" t="s">
        <v>15</v>
      </c>
      <c r="E6" s="4" t="s">
        <v>16</v>
      </c>
      <c r="F6" s="4" t="s">
        <v>25</v>
      </c>
      <c r="G6" s="4" t="s">
        <v>26</v>
      </c>
      <c r="H6" s="4" t="s">
        <v>27</v>
      </c>
      <c r="I6" s="5" t="s">
        <v>20</v>
      </c>
      <c r="J6" s="4" t="s">
        <v>28</v>
      </c>
    </row>
    <row r="7" customFormat="false" ht="75" hidden="false" customHeight="true" outlineLevel="0" collapsed="false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 t="s">
        <v>35</v>
      </c>
      <c r="H7" s="4" t="s">
        <v>36</v>
      </c>
      <c r="I7" s="6" t="s">
        <v>37</v>
      </c>
      <c r="J7" s="4" t="s">
        <v>38</v>
      </c>
    </row>
    <row r="8" customFormat="false" ht="75" hidden="false" customHeight="true" outlineLevel="0" collapsed="false">
      <c r="A8" s="4" t="s">
        <v>39</v>
      </c>
      <c r="B8" s="4" t="s">
        <v>40</v>
      </c>
      <c r="C8" s="4" t="s">
        <v>41</v>
      </c>
      <c r="D8" s="4" t="s">
        <v>32</v>
      </c>
      <c r="E8" s="4" t="s">
        <v>42</v>
      </c>
      <c r="F8" s="4" t="s">
        <v>43</v>
      </c>
      <c r="G8" s="4" t="s">
        <v>44</v>
      </c>
      <c r="H8" s="4" t="s">
        <v>45</v>
      </c>
      <c r="I8" s="5" t="s">
        <v>20</v>
      </c>
      <c r="J8" s="4" t="s">
        <v>46</v>
      </c>
    </row>
    <row r="9" customFormat="false" ht="75" hidden="false" customHeight="true" outlineLevel="0" collapsed="false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5" t="s">
        <v>20</v>
      </c>
      <c r="J9" s="4" t="s">
        <v>55</v>
      </c>
    </row>
    <row r="10" customFormat="false" ht="75" hidden="false" customHeight="true" outlineLevel="0" collapsed="false">
      <c r="A10" s="4" t="s">
        <v>56</v>
      </c>
      <c r="B10" s="4" t="s">
        <v>57</v>
      </c>
      <c r="C10" s="4" t="s">
        <v>58</v>
      </c>
      <c r="D10" s="4" t="s">
        <v>59</v>
      </c>
      <c r="E10" s="4" t="s">
        <v>60</v>
      </c>
      <c r="F10" s="4" t="s">
        <v>61</v>
      </c>
      <c r="G10" s="4" t="s">
        <v>62</v>
      </c>
      <c r="H10" s="4" t="s">
        <v>63</v>
      </c>
      <c r="I10" s="7" t="s">
        <v>64</v>
      </c>
      <c r="J10" s="4" t="s">
        <v>65</v>
      </c>
    </row>
    <row r="11" customFormat="false" ht="75" hidden="false" customHeight="true" outlineLevel="0" collapsed="false">
      <c r="A11" s="4" t="s">
        <v>66</v>
      </c>
      <c r="B11" s="4" t="s">
        <v>67</v>
      </c>
      <c r="C11" s="4" t="s">
        <v>68</v>
      </c>
      <c r="D11" s="4" t="s">
        <v>69</v>
      </c>
      <c r="E11" s="4" t="s">
        <v>70</v>
      </c>
      <c r="F11" s="4" t="s">
        <v>71</v>
      </c>
      <c r="G11" s="4" t="s">
        <v>72</v>
      </c>
      <c r="H11" s="4" t="s">
        <v>73</v>
      </c>
      <c r="I11" s="6" t="s">
        <v>37</v>
      </c>
      <c r="J11" s="4" t="s">
        <v>74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44"/>
  </cols>
  <sheetData>
    <row r="1" customFormat="false" ht="21.75" hidden="false" customHeight="true" outlineLevel="0" collapsed="false">
      <c r="A1" s="1" t="s">
        <v>75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76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</row>
    <row r="5" customFormat="false" ht="60" hidden="false" customHeight="true" outlineLevel="0" collapsed="false">
      <c r="A5" s="8" t="s">
        <v>32</v>
      </c>
      <c r="B5" s="4" t="s">
        <v>82</v>
      </c>
      <c r="C5" s="9" t="n">
        <f aca="false">COUNTIF('Paper Validation Summary'!D5:D11,"*"&amp;A5&amp;"*")</f>
        <v>2</v>
      </c>
      <c r="D5" s="9" t="n">
        <f aca="false">COUNTIFS('Paper Validation Summary'!D5:D11,"*"&amp;A5&amp;"*",'Paper Validation Summary'!I5:I11,"Direct match")</f>
        <v>1</v>
      </c>
      <c r="E5" s="10" t="str">
        <f aca="false">IF(C5=0,"NOT VALIDATED",IF(D5&gt;=1,"VALIDATED","PARTIAL / VARIANT ONLY"))</f>
        <v>VALIDATED</v>
      </c>
      <c r="F5" s="4" t="s">
        <v>83</v>
      </c>
    </row>
    <row r="6" customFormat="false" ht="60" hidden="false" customHeight="true" outlineLevel="0" collapsed="false">
      <c r="A6" s="8" t="s">
        <v>50</v>
      </c>
      <c r="B6" s="4" t="s">
        <v>84</v>
      </c>
      <c r="C6" s="9" t="n">
        <f aca="false">COUNTIF('Paper Validation Summary'!D5:D11,"*"&amp;A6&amp;"*")</f>
        <v>2</v>
      </c>
      <c r="D6" s="9" t="n">
        <f aca="false">COUNTIFS('Paper Validation Summary'!D5:D11,"*"&amp;A6&amp;"*",'Paper Validation Summary'!I5:I11,"Direct match")</f>
        <v>1</v>
      </c>
      <c r="E6" s="10" t="str">
        <f aca="false">IF(C6=0,"NOT VALIDATED",IF(D6&gt;=1,"VALIDATED","PARTIAL / VARIANT ONLY"))</f>
        <v>VALIDATED</v>
      </c>
      <c r="F6" s="4" t="s">
        <v>85</v>
      </c>
    </row>
    <row r="7" customFormat="false" ht="60" hidden="false" customHeight="true" outlineLevel="0" collapsed="false">
      <c r="A7" s="8" t="s">
        <v>15</v>
      </c>
      <c r="B7" s="4" t="s">
        <v>16</v>
      </c>
      <c r="C7" s="9" t="n">
        <f aca="false">COUNTIF('Paper Validation Summary'!D5:D11,"*"&amp;A7&amp;"*")</f>
        <v>2</v>
      </c>
      <c r="D7" s="9" t="n">
        <f aca="false">COUNTIFS('Paper Validation Summary'!D5:D11,"*"&amp;A7&amp;"*",'Paper Validation Summary'!I5:I11,"Direct match")</f>
        <v>2</v>
      </c>
      <c r="E7" s="10" t="str">
        <f aca="false">IF(C7=0,"NOT VALIDATED",IF(D7&gt;=1,"VALIDATED","PARTIAL / VARIANT ONLY"))</f>
        <v>VALIDATED</v>
      </c>
      <c r="F7" s="4" t="s">
        <v>86</v>
      </c>
    </row>
    <row r="8" customFormat="false" ht="60" hidden="false" customHeight="true" outlineLevel="0" collapsed="false">
      <c r="A8" s="8" t="s">
        <v>87</v>
      </c>
      <c r="B8" s="4" t="s">
        <v>88</v>
      </c>
      <c r="C8" s="9" t="n">
        <f aca="false">COUNTIF('Paper Validation Summary'!D5:D11,"*"&amp;A8&amp;"*")</f>
        <v>1</v>
      </c>
      <c r="D8" s="9" t="n">
        <f aca="false">COUNTIFS('Paper Validation Summary'!D5:D11,"*"&amp;A8&amp;"*",'Paper Validation Summary'!I5:I11,"Direct match")</f>
        <v>0</v>
      </c>
      <c r="E8" s="10" t="str">
        <f aca="false">IF(C8=0,"NOT VALIDATED",IF(D8&gt;=1,"VALIDATED","PARTIAL / VARIANT ONLY"))</f>
        <v>PARTIAL / VARIANT ONLY</v>
      </c>
      <c r="F8" s="4" t="s">
        <v>89</v>
      </c>
    </row>
    <row r="9" customFormat="false" ht="60" hidden="false" customHeight="true" outlineLevel="0" collapsed="false">
      <c r="A9" s="8" t="s">
        <v>69</v>
      </c>
      <c r="B9" s="4" t="s">
        <v>90</v>
      </c>
      <c r="C9" s="9" t="n">
        <f aca="false">COUNTIF('Paper Validation Summary'!D5:D11,"*"&amp;A9&amp;"*")</f>
        <v>1</v>
      </c>
      <c r="D9" s="9" t="n">
        <f aca="false">COUNTIFS('Paper Validation Summary'!D5:D11,"*"&amp;A9&amp;"*",'Paper Validation Summary'!I5:I11,"Direct match")</f>
        <v>0</v>
      </c>
      <c r="E9" s="10" t="str">
        <f aca="false">IF(C9=0,"NOT VALIDATED",IF(D9&gt;=1,"VALIDATED","PARTIAL / VARIANT ONLY"))</f>
        <v>PARTIAL / VARIANT ONLY</v>
      </c>
      <c r="F9" s="4" t="s">
        <v>91</v>
      </c>
    </row>
    <row r="11" customFormat="false" ht="15" hidden="false" customHeight="false" outlineLevel="0" collapsed="false">
      <c r="A11" s="11" t="s">
        <v>92</v>
      </c>
    </row>
    <row r="12" customFormat="false" ht="15" hidden="false" customHeight="false" outlineLevel="0" collapsed="false">
      <c r="A12" s="12" t="s">
        <v>93</v>
      </c>
      <c r="B12" s="13" t="s">
        <v>94</v>
      </c>
      <c r="C12" s="13"/>
      <c r="D12" s="13"/>
      <c r="E12" s="13"/>
      <c r="F12" s="13"/>
    </row>
    <row r="13" customFormat="false" ht="23.85" hidden="false" customHeight="false" outlineLevel="0" collapsed="false">
      <c r="A13" s="14" t="s">
        <v>95</v>
      </c>
      <c r="B13" s="13" t="s">
        <v>96</v>
      </c>
      <c r="C13" s="13"/>
      <c r="D13" s="13"/>
      <c r="E13" s="13"/>
      <c r="F13" s="13"/>
    </row>
    <row r="14" customFormat="false" ht="15" hidden="false" customHeight="false" outlineLevel="0" collapsed="false">
      <c r="A14" s="15" t="s">
        <v>97</v>
      </c>
      <c r="B14" s="13" t="s">
        <v>98</v>
      </c>
      <c r="C14" s="13"/>
      <c r="D14" s="13"/>
      <c r="E14" s="13"/>
      <c r="F14" s="13"/>
    </row>
  </sheetData>
  <mergeCells count="5">
    <mergeCell ref="A1:F1"/>
    <mergeCell ref="A2:F2"/>
    <mergeCell ref="B12:F12"/>
    <mergeCell ref="B13:F13"/>
    <mergeCell ref="B14:F14"/>
  </mergeCells>
  <conditionalFormatting sqref="E5:E9">
    <cfRule type="expression" priority="2" aboveAverage="0" equalAverage="0" bottom="0" percent="0" rank="0" text="" dxfId="0">
      <formula>E5="NOT VALIDATED"</formula>
    </cfRule>
    <cfRule type="expression" priority="3" aboveAverage="0" equalAverage="0" bottom="0" percent="0" rank="0" text="" dxfId="1">
      <formula>E5="VALIDATED"</formula>
    </cfRule>
    <cfRule type="expression" priority="4" aboveAverage="0" equalAverage="0" bottom="0" percent="0" rank="0" text="" dxfId="2">
      <formula>E5="PARTIAL / VARIANT ONLY"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99</v>
      </c>
      <c r="B1" s="1"/>
      <c r="C1" s="1"/>
    </row>
    <row r="3" customFormat="false" ht="15" hidden="false" customHeight="false" outlineLevel="0" collapsed="false">
      <c r="A3" s="3" t="s">
        <v>100</v>
      </c>
      <c r="B3" s="3" t="s">
        <v>101</v>
      </c>
      <c r="C3" s="3" t="s">
        <v>102</v>
      </c>
    </row>
    <row r="4" customFormat="false" ht="54.75" hidden="false" customHeight="true" outlineLevel="0" collapsed="false">
      <c r="A4" s="16" t="s">
        <v>103</v>
      </c>
      <c r="B4" s="4" t="s">
        <v>104</v>
      </c>
      <c r="C4" s="4" t="s">
        <v>105</v>
      </c>
    </row>
    <row r="5" customFormat="false" ht="54.75" hidden="false" customHeight="true" outlineLevel="0" collapsed="false">
      <c r="A5" s="6" t="s">
        <v>106</v>
      </c>
      <c r="B5" s="4" t="s">
        <v>107</v>
      </c>
      <c r="C5" s="4" t="s">
        <v>108</v>
      </c>
    </row>
    <row r="6" customFormat="false" ht="54.75" hidden="false" customHeight="true" outlineLevel="0" collapsed="false">
      <c r="A6" s="6" t="s">
        <v>106</v>
      </c>
      <c r="B6" s="4" t="s">
        <v>109</v>
      </c>
      <c r="C6" s="4" t="s">
        <v>110</v>
      </c>
    </row>
    <row r="7" customFormat="false" ht="54.75" hidden="false" customHeight="true" outlineLevel="0" collapsed="false">
      <c r="A7" s="5" t="s">
        <v>111</v>
      </c>
      <c r="B7" s="4" t="s">
        <v>112</v>
      </c>
      <c r="C7" s="4" t="s">
        <v>113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2026-07-20T08:48:40Z</dcterms:created>
  <dc:creator>openpyxl</dc:creator>
  <dc:description/>
  <dc:language>en-US</dc:language>
  <cp:lastModifiedBy/>
  <dcterms:modified xsi:type="dcterms:W3CDTF">2026-07-20T08:48:40Z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